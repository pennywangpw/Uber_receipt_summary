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nny\ForFun\UberEatsreceipt\"/>
    </mc:Choice>
  </mc:AlternateContent>
  <xr:revisionPtr revIDLastSave="0" documentId="13_ncr:1_{1AA21384-7271-4F7E-908E-47DC9A41AE68}" xr6:coauthVersionLast="47" xr6:coauthVersionMax="47" xr10:uidLastSave="{00000000-0000-0000-0000-000000000000}"/>
  <bookViews>
    <workbookView xWindow="38290" yWindow="-110" windowWidth="38620" windowHeight="21100" activeTab="2" xr2:uid="{00000000-000D-0000-FFFF-FFFF00000000}"/>
  </bookViews>
  <sheets>
    <sheet name="0521-0620" sheetId="1" r:id="rId1"/>
    <sheet name="0321-0420" sheetId="3" r:id="rId2"/>
    <sheet name="06.15-06.16" sheetId="7" r:id="rId3"/>
  </sheets>
  <calcPr calcId="191029"/>
</workbook>
</file>

<file path=xl/calcChain.xml><?xml version="1.0" encoding="utf-8"?>
<calcChain xmlns="http://schemas.openxmlformats.org/spreadsheetml/2006/main">
  <c r="F25" i="3" l="1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A3" i="3"/>
  <c r="A4" i="3" s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C2" i="3"/>
  <c r="F51" i="1"/>
  <c r="C48" i="1"/>
  <c r="C47" i="1"/>
  <c r="A47" i="1"/>
  <c r="C46" i="1"/>
  <c r="C45" i="1"/>
  <c r="A45" i="1"/>
  <c r="C44" i="1"/>
  <c r="C43" i="1"/>
  <c r="A43" i="1"/>
  <c r="C42" i="1"/>
  <c r="C41" i="1"/>
  <c r="A41" i="1"/>
  <c r="C40" i="1"/>
  <c r="C39" i="1"/>
  <c r="A39" i="1"/>
  <c r="C38" i="1"/>
  <c r="C37" i="1"/>
  <c r="A37" i="1"/>
  <c r="C36" i="1"/>
  <c r="C35" i="1"/>
  <c r="A35" i="1"/>
  <c r="C34" i="1"/>
  <c r="C33" i="1"/>
  <c r="A33" i="1"/>
  <c r="C32" i="1"/>
  <c r="C31" i="1"/>
  <c r="A31" i="1"/>
  <c r="C30" i="1"/>
  <c r="C29" i="1"/>
  <c r="A29" i="1"/>
  <c r="C28" i="1"/>
  <c r="C27" i="1"/>
  <c r="A27" i="1"/>
  <c r="C26" i="1"/>
  <c r="C25" i="1"/>
  <c r="A25" i="1"/>
  <c r="C24" i="1"/>
  <c r="C23" i="1"/>
  <c r="A23" i="1"/>
  <c r="C22" i="1"/>
  <c r="C21" i="1"/>
  <c r="A21" i="1"/>
  <c r="C20" i="1"/>
  <c r="C19" i="1"/>
  <c r="A19" i="1"/>
  <c r="C18" i="1"/>
  <c r="C17" i="1"/>
  <c r="A17" i="1"/>
  <c r="C16" i="1"/>
  <c r="C15" i="1"/>
  <c r="A15" i="1"/>
  <c r="C14" i="1"/>
  <c r="C13" i="1"/>
  <c r="A13" i="1"/>
  <c r="C12" i="1"/>
  <c r="C11" i="1"/>
  <c r="A11" i="1"/>
  <c r="C10" i="1"/>
  <c r="C9" i="1"/>
  <c r="A9" i="1"/>
  <c r="C8" i="1"/>
  <c r="C7" i="1"/>
  <c r="A7" i="1"/>
  <c r="C6" i="1"/>
  <c r="C5" i="1"/>
  <c r="A5" i="1"/>
  <c r="C4" i="1"/>
  <c r="C3" i="1"/>
  <c r="A3" i="1"/>
  <c r="C2" i="1"/>
</calcChain>
</file>

<file path=xl/sharedStrings.xml><?xml version="1.0" encoding="utf-8"?>
<sst xmlns="http://schemas.openxmlformats.org/spreadsheetml/2006/main" count="275" uniqueCount="41">
  <si>
    <t>Receipt No.
收據編號</t>
  </si>
  <si>
    <t>Date
日期</t>
  </si>
  <si>
    <t>Day of Week</t>
  </si>
  <si>
    <t>Meal</t>
  </si>
  <si>
    <t>Name of Restaurant / Description
店家/明細</t>
  </si>
  <si>
    <t>Amount
金額</t>
  </si>
  <si>
    <t>Total No. of orders
用餐同仁總數</t>
  </si>
  <si>
    <t>Meals are considered overtime expenses for the following employees (unless otherwise specifically noted) 餐費皆為支付以下所列員工加班 (除非另有特別註明)</t>
  </si>
  <si>
    <t xml:space="preserve">Paid by </t>
  </si>
  <si>
    <t>Dinner</t>
  </si>
  <si>
    <t>Ubereats</t>
  </si>
  <si>
    <t>Neil</t>
  </si>
  <si>
    <t>Lunch</t>
  </si>
  <si>
    <t>Breakfast</t>
  </si>
  <si>
    <t>TOTAL</t>
  </si>
  <si>
    <t>06/24/26</t>
  </si>
  <si>
    <t>Wed</t>
  </si>
  <si>
    <t>Kevin</t>
  </si>
  <si>
    <t>Drinks</t>
  </si>
  <si>
    <t>Paradise Biryani</t>
  </si>
  <si>
    <t>Venkata</t>
  </si>
  <si>
    <t>Uber Eats</t>
  </si>
  <si>
    <t>Jesse</t>
  </si>
  <si>
    <t>David(Tesla)</t>
  </si>
  <si>
    <t>Panda Express</t>
  </si>
  <si>
    <t>Khalid</t>
  </si>
  <si>
    <t>Johns(Rivian), Kevin, Leo</t>
  </si>
  <si>
    <t>Quang, Kaying, Felipe</t>
  </si>
  <si>
    <t>Jones(Rivian), Gandhar(Rivian),Abhijit(Rivian), Kevin</t>
  </si>
  <si>
    <t>Shunliang(Broadcom), Jesse</t>
  </si>
  <si>
    <t>Joe, Jennfier</t>
  </si>
  <si>
    <t>Johns(Rivian)</t>
  </si>
  <si>
    <t>Sporton Team</t>
  </si>
  <si>
    <t>Amazon Client</t>
  </si>
  <si>
    <t>Trader Joe</t>
  </si>
  <si>
    <t>Receipt
No.
收據編號</t>
  </si>
  <si>
    <t>Name of Restaurant /
Description
店家/明細</t>
  </si>
  <si>
    <t>06/15/26</t>
  </si>
  <si>
    <t>Mon</t>
  </si>
  <si>
    <t>06/16/26</t>
  </si>
  <si>
    <t>Tue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</si>
</sst>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ddd"/>
    <numFmt numFmtId="165" formatCode="&quot;$&quot;#,##0.00"/>
    <numFmt numFmtId="166" formatCode="0_);[Red]\(0\)"/>
    <numFmt numFmtId="167" formatCode="mm/dd/yy;@"/>
    <numFmt numFmtId="168" formatCode="m/d;@"/>
    <numFmt numFmtId="169" formatCode="_-* #,##0_-;\-* #,##0_-;_-* &quot;-&quot;??_-;_-@_-"/>
    <numFmt numFmtId="170" formatCode="\$#,##0.00"/>
    <numFmt numFmtId="171" formatCode="_-* #,##0.00_-;\-* #,##0.00_-;_-* &quot;-&quot;??_-;_-@_-"/>
  </numFmts>
  <fonts count="7">
    <font>
      <sz val="11"/>
      <color theme="1"/>
      <name val="Calibri"/>
      <family val="2"/>
      <scheme val="minor"/>
    </font>
    <font>
      <sz val="12"/>
      <color theme="1"/>
      <name val="Calibri"/>
      <family val="1"/>
      <charset val="136"/>
      <scheme val="minor"/>
    </font>
    <font>
      <sz val="12"/>
      <color theme="1"/>
      <name val="Calibri"/>
      <family val="2"/>
    </font>
    <font>
      <b/>
      <sz val="12"/>
      <color indexed="8"/>
      <name val="Calibri"/>
      <family val="2"/>
    </font>
    <font>
      <b/>
      <sz val="12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366092"/>
        <bgColor rgb="FF366092"/>
      </patternFill>
    </fill>
    <fill>
      <patternFill patternType="solid">
        <fgColor rgb="FF95B3D7"/>
        <bgColor rgb="FFFFD966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>
      <alignment vertical="center"/>
    </xf>
    <xf numFmtId="171" fontId="1" fillId="0" borderId="0">
      <alignment vertical="center"/>
    </xf>
  </cellStyleXfs>
  <cellXfs count="46">
    <xf numFmtId="0" fontId="0" fillId="0" borderId="0" xfId="0"/>
    <xf numFmtId="16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166" fontId="2" fillId="0" borderId="1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7" fontId="2" fillId="0" borderId="1" xfId="0" applyNumberFormat="1" applyFont="1" applyBorder="1" applyAlignment="1">
      <alignment horizontal="center" vertical="center" wrapText="1"/>
    </xf>
    <xf numFmtId="167" fontId="5" fillId="0" borderId="1" xfId="1" applyNumberFormat="1" applyFont="1" applyBorder="1" applyAlignment="1">
      <alignment horizontal="center" vertical="center" wrapText="1"/>
    </xf>
    <xf numFmtId="168" fontId="5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169" fontId="5" fillId="0" borderId="1" xfId="2" applyNumberFormat="1" applyFont="1" applyBorder="1" applyAlignment="1">
      <alignment horizontal="center" vertical="center" wrapText="1"/>
    </xf>
    <xf numFmtId="166" fontId="5" fillId="0" borderId="1" xfId="1" applyNumberFormat="1" applyFont="1" applyBorder="1" applyAlignment="1">
      <alignment horizontal="center" vertical="center" wrapText="1"/>
    </xf>
    <xf numFmtId="167" fontId="2" fillId="0" borderId="1" xfId="1" applyNumberFormat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165" fontId="4" fillId="0" borderId="1" xfId="2" applyNumberFormat="1" applyFont="1" applyBorder="1" applyAlignment="1">
      <alignment horizontal="center" vertical="center" wrapText="1"/>
    </xf>
    <xf numFmtId="166" fontId="2" fillId="0" borderId="1" xfId="1" applyNumberFormat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167" fontId="2" fillId="0" borderId="4" xfId="0" applyNumberFormat="1" applyFont="1" applyBorder="1" applyAlignment="1">
      <alignment horizontal="center" vertical="center" wrapText="1"/>
    </xf>
    <xf numFmtId="165" fontId="2" fillId="0" borderId="4" xfId="0" applyNumberFormat="1" applyFont="1" applyBorder="1" applyAlignment="1">
      <alignment horizontal="center" vertical="center" wrapText="1"/>
    </xf>
    <xf numFmtId="166" fontId="2" fillId="0" borderId="4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164" fontId="2" fillId="0" borderId="1" xfId="1" applyNumberFormat="1" applyFont="1" applyBorder="1" applyAlignment="1">
      <alignment horizontal="center" vertical="center" wrapText="1"/>
    </xf>
    <xf numFmtId="168" fontId="2" fillId="0" borderId="1" xfId="1" applyNumberFormat="1" applyFont="1" applyBorder="1" applyAlignment="1">
      <alignment horizontal="center" vertical="center" wrapText="1"/>
    </xf>
    <xf numFmtId="165" fontId="2" fillId="0" borderId="1" xfId="1" applyNumberFormat="1" applyFont="1" applyBorder="1" applyAlignment="1">
      <alignment horizontal="center" vertical="center" wrapText="1"/>
    </xf>
    <xf numFmtId="166" fontId="2" fillId="0" borderId="2" xfId="1" applyNumberFormat="1" applyFont="1" applyBorder="1" applyAlignment="1">
      <alignment horizontal="center" vertical="center" wrapText="1"/>
    </xf>
    <xf numFmtId="169" fontId="5" fillId="2" borderId="1" xfId="2" applyNumberFormat="1" applyFont="1" applyFill="1" applyBorder="1" applyAlignment="1">
      <alignment horizontal="center" vertical="center" wrapText="1"/>
    </xf>
    <xf numFmtId="165" fontId="2" fillId="2" borderId="1" xfId="2" applyNumberFormat="1" applyFont="1" applyFill="1" applyBorder="1" applyAlignment="1">
      <alignment horizontal="center" vertical="center" wrapText="1"/>
    </xf>
    <xf numFmtId="165" fontId="2" fillId="2" borderId="1" xfId="0" applyNumberFormat="1" applyFont="1" applyFill="1" applyBorder="1" applyAlignment="1">
      <alignment horizontal="center" vertical="center" wrapText="1"/>
    </xf>
    <xf numFmtId="165" fontId="2" fillId="2" borderId="4" xfId="0" applyNumberFormat="1" applyFont="1" applyFill="1" applyBorder="1" applyAlignment="1">
      <alignment horizontal="center" vertical="center" wrapText="1"/>
    </xf>
    <xf numFmtId="165" fontId="0" fillId="2" borderId="1" xfId="2" applyNumberFormat="1" applyFont="1" applyFill="1" applyBorder="1" applyAlignment="1">
      <alignment horizontal="center" vertical="center" wrapText="1"/>
    </xf>
    <xf numFmtId="0" fontId="0" fillId="2" borderId="0" xfId="0" applyFill="1"/>
    <xf numFmtId="166" fontId="5" fillId="3" borderId="1" xfId="1" applyNumberFormat="1" applyFont="1" applyFill="1" applyBorder="1" applyAlignment="1">
      <alignment horizontal="center" vertical="center" wrapText="1"/>
    </xf>
    <xf numFmtId="166" fontId="2" fillId="3" borderId="1" xfId="1" applyNumberFormat="1" applyFont="1" applyFill="1" applyBorder="1" applyAlignment="1">
      <alignment horizontal="center" vertical="center" wrapText="1"/>
    </xf>
    <xf numFmtId="166" fontId="2" fillId="3" borderId="1" xfId="0" applyNumberFormat="1" applyFont="1" applyFill="1" applyBorder="1" applyAlignment="1">
      <alignment horizontal="center" vertical="center" wrapText="1"/>
    </xf>
    <xf numFmtId="166" fontId="2" fillId="3" borderId="4" xfId="0" applyNumberFormat="1" applyFont="1" applyFill="1" applyBorder="1" applyAlignment="1">
      <alignment horizontal="center" vertical="center" wrapText="1"/>
    </xf>
    <xf numFmtId="0" fontId="0" fillId="3" borderId="0" xfId="0" applyFill="1"/>
    <xf numFmtId="168" fontId="2" fillId="4" borderId="1" xfId="1" applyNumberFormat="1" applyFont="1" applyFill="1" applyBorder="1" applyAlignment="1">
      <alignment horizontal="center" vertical="center" wrapText="1"/>
    </xf>
    <xf numFmtId="166" fontId="2" fillId="4" borderId="1" xfId="0" applyNumberFormat="1" applyFont="1" applyFill="1" applyBorder="1" applyAlignment="1">
      <alignment horizontal="center" vertical="center" wrapText="1"/>
    </xf>
    <xf numFmtId="170" fontId="0" fillId="0" borderId="0" xfId="0" applyNumberFormat="1"/>
    <xf numFmtId="0" fontId="6" fillId="5" borderId="6" xfId="0" applyFont="1" applyFill="1" applyBorder="1" applyAlignment="1">
      <alignment horizontal="center" vertical="center" wrapText="1"/>
    </xf>
    <xf numFmtId="0" fontId="6" fillId="6" borderId="6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170" fontId="0" fillId="0" borderId="6" xfId="0" applyNumberFormat="1" applyBorder="1" applyAlignment="1">
      <alignment horizontal="center" vertical="center" wrapText="1"/>
    </xf>
  </cellXfs>
  <cellStyles count="3">
    <cellStyle name="Normal" xfId="0" builtinId="0"/>
    <cellStyle name="一般 2" xfId="1" xr:uid="{00000000-0005-0000-0000-000001000000}"/>
    <cellStyle name="千分位 2" xfId="2" xr:uid="{00000000-0005-0000-0000-000002000000}"/>
  </cellStyles>
  <dxfs count="28">
    <dxf>
      <font>
        <strike val="0"/>
        <condense val="0"/>
        <extend val="0"/>
        <outline val="0"/>
        <shadow val="0"/>
        <vertAlign val="baseline"/>
        <sz val="12"/>
        <color theme="1"/>
        <name val="Calibri"/>
        <family val="2"/>
      </font>
      <fill>
        <patternFill>
          <fgColor indexed="64"/>
          <bgColor auto="1"/>
        </patternFill>
      </fill>
      <alignment horizontal="center" vertical="center" wrapText="1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2"/>
        <color theme="1"/>
        <name val="Calibri"/>
        <family val="2"/>
      </font>
      <fill>
        <patternFill>
          <fgColor indexed="64"/>
          <bgColor auto="1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2"/>
        <color theme="1"/>
        <name val="Calibri"/>
        <family val="2"/>
      </font>
      <numFmt numFmtId="166" formatCode="0_);[Red]\(0\)"/>
      <fill>
        <patternFill>
          <fgColor indexed="64"/>
          <bgColor auto="1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2"/>
        <color theme="1"/>
        <name val="Calibri"/>
        <family val="2"/>
      </font>
      <numFmt numFmtId="165" formatCode="&quot;$&quot;#,##0.00"/>
      <fill>
        <patternFill>
          <fgColor indexed="64"/>
          <bgColor auto="1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2"/>
        <color theme="1"/>
        <name val="Calibri"/>
        <family val="2"/>
      </font>
      <numFmt numFmtId="165" formatCode="&quot;$&quot;#,##0.00"/>
      <fill>
        <patternFill>
          <fgColor indexed="64"/>
          <bgColor auto="1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2"/>
        <color theme="1"/>
        <name val="Calibri"/>
        <family val="2"/>
      </font>
      <fill>
        <patternFill>
          <fgColor indexed="64"/>
          <bgColor auto="1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2"/>
        <color theme="1"/>
        <name val="Calibri"/>
        <family val="2"/>
      </font>
      <numFmt numFmtId="164" formatCode="ddd"/>
      <fill>
        <patternFill>
          <fgColor indexed="64"/>
          <bgColor auto="1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2"/>
        <color theme="1"/>
        <name val="Calibri"/>
        <family val="2"/>
      </font>
      <numFmt numFmtId="167" formatCode="mm/dd/yy;@"/>
      <fill>
        <patternFill>
          <fgColor indexed="64"/>
          <bgColor auto="1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2"/>
        <color theme="1"/>
        <name val="Calibri"/>
        <family val="2"/>
      </font>
      <fill>
        <patternFill>
          <fgColor indexed="64"/>
          <bgColor auto="1"/>
        </patternFill>
      </fill>
      <alignment horizontal="center" vertical="center" wrapText="1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0_);[Red]\(0\)"/>
      <fill>
        <patternFill>
          <fgColor indexed="64"/>
          <bgColor auto="1"/>
        </patternFill>
      </fill>
      <alignment horizontal="center" vertical="center" wrapText="1"/>
    </dxf>
    <dxf>
      <border outline="0"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</font>
      <numFmt numFmtId="166" formatCode="0_);[Red]\(0\)"/>
      <fill>
        <patternFill>
          <fgColor indexed="64"/>
          <bgColor indexed="65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condense val="0"/>
        <extend val="0"/>
        <outline val="0"/>
        <shadow val="0"/>
        <vertAlign val="baseline"/>
        <sz val="12"/>
        <color theme="1"/>
        <name val="Calibri"/>
        <family val="2"/>
      </font>
      <fill>
        <patternFill>
          <fgColor indexed="64"/>
          <bgColor auto="1"/>
        </patternFill>
      </fill>
      <alignment horizontal="center" vertical="center" wrapText="1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2"/>
        <color theme="1"/>
        <name val="Calibri"/>
        <family val="2"/>
      </font>
      <fill>
        <patternFill>
          <fgColor indexed="64"/>
          <bgColor auto="1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2"/>
        <color theme="1"/>
        <name val="Calibri"/>
        <family val="2"/>
      </font>
      <numFmt numFmtId="166" formatCode="0_);[Red]\(0\)"/>
      <fill>
        <patternFill patternType="solid">
          <fgColor indexed="64"/>
          <bgColor theme="8" tint="0.59999389629810485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2"/>
        <color theme="1"/>
        <name val="Calibri"/>
        <family val="2"/>
      </font>
      <numFmt numFmtId="165" formatCode="&quot;$&quot;#,##0.00"/>
      <fill>
        <patternFill patternType="solid">
          <fgColor indexed="64"/>
          <bgColor theme="7" tint="0.39997558519241921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2"/>
        <color theme="1"/>
        <name val="Calibri"/>
        <family val="2"/>
      </font>
      <numFmt numFmtId="165" formatCode="&quot;$&quot;#,##0.00"/>
      <fill>
        <patternFill>
          <fgColor indexed="64"/>
          <bgColor auto="1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2"/>
        <color theme="1"/>
        <name val="Calibri"/>
        <family val="2"/>
      </font>
      <fill>
        <patternFill>
          <fgColor indexed="64"/>
          <bgColor auto="1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2"/>
        <color theme="1"/>
        <name val="Calibri"/>
        <family val="2"/>
      </font>
      <numFmt numFmtId="164" formatCode="ddd"/>
      <fill>
        <patternFill>
          <fgColor indexed="64"/>
          <bgColor auto="1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2"/>
        <color theme="1"/>
        <name val="Calibri"/>
        <family val="2"/>
      </font>
      <numFmt numFmtId="167" formatCode="mm/dd/yy;@"/>
      <fill>
        <patternFill>
          <fgColor indexed="64"/>
          <bgColor auto="1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2"/>
        <color theme="1"/>
        <name val="Calibri"/>
        <family val="2"/>
      </font>
      <fill>
        <patternFill>
          <fgColor indexed="64"/>
          <bgColor auto="1"/>
        </patternFill>
      </fill>
      <alignment horizontal="center" vertical="center" wrapText="1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66" formatCode="0_);[Red]\(0\)"/>
      <fill>
        <patternFill>
          <fgColor rgb="FF000000"/>
          <bgColor auto="1"/>
        </patternFill>
      </fill>
      <alignment horizontal="center" vertical="center" wrapText="1"/>
    </dxf>
    <dxf>
      <border outline="0">
        <bottom style="thin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</font>
      <numFmt numFmtId="166" formatCode="0_);[Red]\(0\)"/>
      <fill>
        <patternFill>
          <fgColor indexed="64"/>
          <bgColor indexed="65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格1_569108353456" displayName="表格1_569108353456" ref="A1:I50" totalsRowShown="0" headerRowDxfId="27" dataDxfId="25" headerRowBorderDxfId="26" tableBorderDxfId="24" totalsRowBorderDxfId="23" headerRowCellStyle="一般 2">
  <autoFilter ref="A1:I50" xr:uid="{00000000-0009-0000-0100-000001000000}"/>
  <tableColumns count="9">
    <tableColumn id="1" xr3:uid="{00000000-0010-0000-0000-000001000000}" name="Receipt No._x000a_收據編號" dataDxfId="22"/>
    <tableColumn id="2" xr3:uid="{00000000-0010-0000-0000-000002000000}" name="Date_x000a_日期" dataDxfId="21"/>
    <tableColumn id="3" xr3:uid="{00000000-0010-0000-0000-000003000000}" name="Day of Week" dataDxfId="20">
      <calculatedColumnFormula>TEXT(表格1_569108353456[[#This Row],[Date
日期]],"ddd")</calculatedColumnFormula>
    </tableColumn>
    <tableColumn id="4" xr3:uid="{00000000-0010-0000-0000-000004000000}" name="Meal" dataDxfId="19"/>
    <tableColumn id="5" xr3:uid="{00000000-0010-0000-0000-000005000000}" name="Name of Restaurant / Description_x000a_店家/明細" dataDxfId="18"/>
    <tableColumn id="6" xr3:uid="{00000000-0010-0000-0000-000006000000}" name="Amount_x000a_金額" dataDxfId="17"/>
    <tableColumn id="7" xr3:uid="{00000000-0010-0000-0000-000007000000}" name="Total No. of orders_x000a_用餐同仁總數" dataDxfId="16"/>
    <tableColumn id="8" xr3:uid="{00000000-0010-0000-0000-000008000000}" name="Meals are considered overtime expenses for the following employees (unless otherwise specifically noted) 餐費皆為支付以下所列員工加班 (除非另有特別註明)" dataDxfId="15"/>
    <tableColumn id="9" xr3:uid="{00000000-0010-0000-0000-000009000000}" name="Paid by " dataDxfId="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表格1_5691083534" displayName="表格1_5691083534" ref="A1:I24" totalsRowShown="0" headerRowDxfId="13" dataDxfId="11" headerRowBorderDxfId="12" tableBorderDxfId="10" totalsRowBorderDxfId="9" headerRowCellStyle="一般 2">
  <autoFilter ref="A1:I24" xr:uid="{00000000-0009-0000-0100-000003000000}"/>
  <tableColumns count="9">
    <tableColumn id="1" xr3:uid="{00000000-0010-0000-0200-000001000000}" name="Receipt No._x000a_收據編號" dataDxfId="8"/>
    <tableColumn id="2" xr3:uid="{00000000-0010-0000-0200-000002000000}" name="Date_x000a_日期" dataDxfId="7"/>
    <tableColumn id="3" xr3:uid="{00000000-0010-0000-0200-000003000000}" name="Day of Week" dataDxfId="6">
      <calculatedColumnFormula>TEXT(表格1_5691083534[[#This Row],[Date
日期]],"ddd")</calculatedColumnFormula>
    </tableColumn>
    <tableColumn id="4" xr3:uid="{00000000-0010-0000-0200-000004000000}" name="Meal" dataDxfId="5"/>
    <tableColumn id="5" xr3:uid="{00000000-0010-0000-0200-000005000000}" name="Name of Restaurant / Description_x000a_店家/明細" dataDxfId="4"/>
    <tableColumn id="6" xr3:uid="{00000000-0010-0000-0200-000006000000}" name="Amount_x000a_金額" dataDxfId="3"/>
    <tableColumn id="7" xr3:uid="{00000000-0010-0000-0200-000007000000}" name="Total No. of orders_x000a_用餐同仁總數" dataDxfId="2"/>
    <tableColumn id="8" xr3:uid="{00000000-0010-0000-0200-000008000000}" name="Meals are considered overtime expenses for the following employees (unless otherwise specifically noted) 餐費皆為支付以下所列員工加班 (除非另有特別註明)" dataDxfId="1"/>
    <tableColumn id="9" xr3:uid="{00000000-0010-0000-0200-000009000000}" name="Paid by 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53"/>
  <sheetViews>
    <sheetView topLeftCell="A16" zoomScale="145" zoomScaleNormal="145" workbookViewId="0">
      <selection activeCell="H10" sqref="H10"/>
    </sheetView>
  </sheetViews>
  <sheetFormatPr defaultRowHeight="14.75"/>
  <cols>
    <col min="2" max="2" width="15.36328125" customWidth="1"/>
    <col min="3" max="3" width="12.1328125" customWidth="1"/>
    <col min="4" max="4" width="10.58984375" customWidth="1"/>
    <col min="5" max="5" width="20.6796875" customWidth="1"/>
    <col min="6" max="6" width="15.36328125" style="33" customWidth="1"/>
    <col min="7" max="7" width="15.1328125" style="38" customWidth="1"/>
    <col min="8" max="8" width="39.90625" customWidth="1"/>
    <col min="9" max="9" width="15.36328125" customWidth="1"/>
  </cols>
  <sheetData>
    <row r="1" spans="1:9" ht="57.25" customHeight="1">
      <c r="A1" s="10" t="s">
        <v>0</v>
      </c>
      <c r="B1" s="10" t="s">
        <v>1</v>
      </c>
      <c r="C1" s="11" t="s">
        <v>2</v>
      </c>
      <c r="D1" s="11" t="s">
        <v>3</v>
      </c>
      <c r="E1" s="12" t="s">
        <v>4</v>
      </c>
      <c r="F1" s="28" t="s">
        <v>5</v>
      </c>
      <c r="G1" s="34" t="s">
        <v>6</v>
      </c>
      <c r="H1" s="14" t="s">
        <v>7</v>
      </c>
      <c r="I1" s="14" t="s">
        <v>8</v>
      </c>
    </row>
    <row r="2" spans="1:9" ht="16" customHeight="1">
      <c r="A2" s="2">
        <v>1</v>
      </c>
      <c r="B2" s="15">
        <v>46163</v>
      </c>
      <c r="C2" s="24" t="str">
        <f>TEXT(表格1_569108353456[[#This Row],[Date
日期]],"ddd")</f>
        <v>Thu</v>
      </c>
      <c r="D2" s="25" t="s">
        <v>9</v>
      </c>
      <c r="E2" s="26" t="s">
        <v>10</v>
      </c>
      <c r="F2" s="29">
        <v>63</v>
      </c>
      <c r="G2" s="35">
        <v>3</v>
      </c>
      <c r="H2" s="18"/>
      <c r="I2" s="27" t="s">
        <v>11</v>
      </c>
    </row>
    <row r="3" spans="1:9" ht="16" customHeight="1">
      <c r="A3" s="2">
        <f>1+A2</f>
        <v>2</v>
      </c>
      <c r="B3" s="15">
        <v>46164</v>
      </c>
      <c r="C3" s="24" t="str">
        <f>TEXT(表格1_569108353456[[#This Row],[Date
日期]],"ddd")</f>
        <v>Fri</v>
      </c>
      <c r="D3" s="25" t="s">
        <v>9</v>
      </c>
      <c r="E3" s="26" t="s">
        <v>10</v>
      </c>
      <c r="F3" s="29">
        <v>45.22</v>
      </c>
      <c r="G3" s="35">
        <v>4</v>
      </c>
      <c r="H3" s="18"/>
      <c r="I3" s="27" t="s">
        <v>11</v>
      </c>
    </row>
    <row r="4" spans="1:9" ht="16" customHeight="1">
      <c r="A4" s="2">
        <v>3</v>
      </c>
      <c r="B4" s="15">
        <v>46165</v>
      </c>
      <c r="C4" s="24" t="str">
        <f>TEXT(表格1_569108353456[[#This Row],[Date
日期]],"ddd")</f>
        <v>Sat</v>
      </c>
      <c r="D4" s="25" t="s">
        <v>9</v>
      </c>
      <c r="E4" s="26" t="s">
        <v>10</v>
      </c>
      <c r="F4" s="29">
        <v>41.09</v>
      </c>
      <c r="G4" s="35">
        <v>2</v>
      </c>
      <c r="H4" s="18"/>
      <c r="I4" s="27" t="s">
        <v>11</v>
      </c>
    </row>
    <row r="5" spans="1:9" ht="16" customHeight="1">
      <c r="A5" s="2">
        <f>1+A4</f>
        <v>4</v>
      </c>
      <c r="B5" s="9">
        <v>46166</v>
      </c>
      <c r="C5" s="1" t="str">
        <f>TEXT(表格1_569108353456[[#This Row],[Date
日期]],"ddd")</f>
        <v>Sun</v>
      </c>
      <c r="D5" s="2" t="s">
        <v>12</v>
      </c>
      <c r="E5" s="3" t="s">
        <v>10</v>
      </c>
      <c r="F5" s="30">
        <v>20.77</v>
      </c>
      <c r="G5" s="36">
        <v>1</v>
      </c>
      <c r="H5" s="2"/>
      <c r="I5" s="27" t="s">
        <v>11</v>
      </c>
    </row>
    <row r="6" spans="1:9" ht="16" customHeight="1">
      <c r="A6" s="2">
        <v>5</v>
      </c>
      <c r="B6" s="9">
        <v>46167</v>
      </c>
      <c r="C6" s="1" t="str">
        <f>TEXT(表格1_569108353456[[#This Row],[Date
日期]],"ddd")</f>
        <v>Mon</v>
      </c>
      <c r="D6" s="25" t="s">
        <v>9</v>
      </c>
      <c r="E6" s="3" t="s">
        <v>10</v>
      </c>
      <c r="F6" s="30">
        <v>22.46</v>
      </c>
      <c r="G6" s="36">
        <v>2</v>
      </c>
      <c r="H6" s="2"/>
      <c r="I6" s="27" t="s">
        <v>11</v>
      </c>
    </row>
    <row r="7" spans="1:9" ht="16" customHeight="1">
      <c r="A7" s="2">
        <f>1+A6</f>
        <v>6</v>
      </c>
      <c r="B7" s="9">
        <v>46168</v>
      </c>
      <c r="C7" s="1" t="str">
        <f>TEXT(表格1_569108353456[[#This Row],[Date
日期]],"ddd")</f>
        <v>Tue</v>
      </c>
      <c r="D7" s="25" t="s">
        <v>9</v>
      </c>
      <c r="E7" s="3" t="s">
        <v>10</v>
      </c>
      <c r="F7" s="30">
        <v>65.069999999999993</v>
      </c>
      <c r="G7" s="36">
        <v>3</v>
      </c>
      <c r="H7" s="2"/>
      <c r="I7" s="27" t="s">
        <v>11</v>
      </c>
    </row>
    <row r="8" spans="1:9" ht="16" customHeight="1">
      <c r="A8" s="2">
        <v>7</v>
      </c>
      <c r="B8" s="9">
        <v>46169</v>
      </c>
      <c r="C8" s="1" t="str">
        <f>TEXT(表格1_569108353456[[#This Row],[Date
日期]],"ddd")</f>
        <v>Wed</v>
      </c>
      <c r="D8" s="2" t="s">
        <v>12</v>
      </c>
      <c r="E8" s="3" t="s">
        <v>10</v>
      </c>
      <c r="F8" s="30">
        <v>23.44</v>
      </c>
      <c r="G8" s="36">
        <v>1</v>
      </c>
      <c r="H8" s="18"/>
      <c r="I8" s="27" t="s">
        <v>11</v>
      </c>
    </row>
    <row r="9" spans="1:9" ht="16" customHeight="1">
      <c r="A9" s="2">
        <f>1+A8</f>
        <v>8</v>
      </c>
      <c r="B9" s="9">
        <v>46169</v>
      </c>
      <c r="C9" s="1" t="str">
        <f>TEXT(表格1_569108353456[[#This Row],[Date
日期]],"ddd")</f>
        <v>Wed</v>
      </c>
      <c r="D9" s="25" t="s">
        <v>9</v>
      </c>
      <c r="E9" s="3" t="s">
        <v>10</v>
      </c>
      <c r="F9" s="30">
        <v>104.56</v>
      </c>
      <c r="G9" s="36">
        <v>4</v>
      </c>
      <c r="H9" s="2"/>
      <c r="I9" s="27" t="s">
        <v>11</v>
      </c>
    </row>
    <row r="10" spans="1:9" ht="16" customHeight="1">
      <c r="A10" s="2">
        <v>9</v>
      </c>
      <c r="B10" s="9">
        <v>46170</v>
      </c>
      <c r="C10" s="1" t="str">
        <f>TEXT(表格1_569108353456[[#This Row],[Date
日期]],"ddd")</f>
        <v>Thu</v>
      </c>
      <c r="D10" s="25" t="s">
        <v>9</v>
      </c>
      <c r="E10" s="3" t="s">
        <v>10</v>
      </c>
      <c r="F10" s="30">
        <v>78.489999999999995</v>
      </c>
      <c r="G10" s="36">
        <v>4</v>
      </c>
      <c r="H10" s="2"/>
      <c r="I10" s="27" t="s">
        <v>11</v>
      </c>
    </row>
    <row r="11" spans="1:9" ht="16" customHeight="1">
      <c r="A11" s="2">
        <f>1+A10</f>
        <v>10</v>
      </c>
      <c r="B11" s="9">
        <v>46171</v>
      </c>
      <c r="C11" s="1" t="str">
        <f>TEXT(表格1_569108353456[[#This Row],[Date
日期]],"ddd")</f>
        <v>Fri</v>
      </c>
      <c r="D11" s="25" t="s">
        <v>9</v>
      </c>
      <c r="E11" s="3" t="s">
        <v>10</v>
      </c>
      <c r="F11" s="30">
        <v>82.21</v>
      </c>
      <c r="G11" s="36">
        <v>4</v>
      </c>
      <c r="H11" s="2"/>
      <c r="I11" s="27" t="s">
        <v>11</v>
      </c>
    </row>
    <row r="12" spans="1:9" ht="16" customHeight="1">
      <c r="A12" s="2">
        <v>11</v>
      </c>
      <c r="B12" s="9">
        <v>46172</v>
      </c>
      <c r="C12" s="1" t="str">
        <f>TEXT(表格1_569108353456[[#This Row],[Date
日期]],"ddd")</f>
        <v>Sat</v>
      </c>
      <c r="D12" s="39" t="s">
        <v>9</v>
      </c>
      <c r="E12" s="3" t="s">
        <v>10</v>
      </c>
      <c r="F12" s="30">
        <v>65.069999999999993</v>
      </c>
      <c r="G12" s="36">
        <v>3</v>
      </c>
      <c r="H12" s="2"/>
      <c r="I12" s="27" t="s">
        <v>11</v>
      </c>
    </row>
    <row r="13" spans="1:9" ht="16" customHeight="1">
      <c r="A13" s="2">
        <f>1+A12</f>
        <v>12</v>
      </c>
      <c r="B13" s="9">
        <v>46174</v>
      </c>
      <c r="C13" s="1" t="str">
        <f>TEXT(表格1_569108353456[[#This Row],[Date
日期]],"ddd")</f>
        <v>Mon</v>
      </c>
      <c r="D13" s="25" t="s">
        <v>9</v>
      </c>
      <c r="E13" s="3" t="s">
        <v>10</v>
      </c>
      <c r="F13" s="30">
        <v>77.930000000000007</v>
      </c>
      <c r="G13" s="36">
        <v>4</v>
      </c>
      <c r="H13" s="2"/>
      <c r="I13" s="27" t="s">
        <v>11</v>
      </c>
    </row>
    <row r="14" spans="1:9" ht="16" customHeight="1">
      <c r="A14" s="2">
        <v>13</v>
      </c>
      <c r="B14" s="9">
        <v>46175</v>
      </c>
      <c r="C14" s="1" t="str">
        <f>TEXT(表格1_569108353456[[#This Row],[Date
日期]],"ddd")</f>
        <v>Tue</v>
      </c>
      <c r="D14" s="2" t="s">
        <v>12</v>
      </c>
      <c r="E14" s="3" t="s">
        <v>10</v>
      </c>
      <c r="F14" s="30">
        <v>20.9</v>
      </c>
      <c r="G14" s="36">
        <v>1</v>
      </c>
      <c r="H14" s="2"/>
      <c r="I14" s="27" t="s">
        <v>11</v>
      </c>
    </row>
    <row r="15" spans="1:9" ht="16" customHeight="1">
      <c r="A15" s="2">
        <f>1+A14</f>
        <v>14</v>
      </c>
      <c r="B15" s="9">
        <v>46175</v>
      </c>
      <c r="C15" s="1" t="str">
        <f>TEXT(表格1_569108353456[[#This Row],[Date
日期]],"ddd")</f>
        <v>Tue</v>
      </c>
      <c r="D15" s="25" t="s">
        <v>9</v>
      </c>
      <c r="E15" s="3" t="s">
        <v>10</v>
      </c>
      <c r="F15" s="30">
        <v>77.930000000000007</v>
      </c>
      <c r="G15" s="36">
        <v>4</v>
      </c>
      <c r="H15" s="2"/>
      <c r="I15" s="27" t="s">
        <v>11</v>
      </c>
    </row>
    <row r="16" spans="1:9" ht="16" customHeight="1">
      <c r="A16" s="2">
        <v>15</v>
      </c>
      <c r="B16" s="9">
        <v>46176</v>
      </c>
      <c r="C16" s="1" t="str">
        <f>TEXT(表格1_569108353456[[#This Row],[Date
日期]],"ddd")</f>
        <v>Wed</v>
      </c>
      <c r="D16" s="2" t="s">
        <v>12</v>
      </c>
      <c r="E16" s="3" t="s">
        <v>10</v>
      </c>
      <c r="F16" s="30">
        <v>24.02</v>
      </c>
      <c r="G16" s="36">
        <v>1</v>
      </c>
      <c r="H16" s="2"/>
      <c r="I16" s="27" t="s">
        <v>11</v>
      </c>
    </row>
    <row r="17" spans="1:9" ht="16" customHeight="1">
      <c r="A17" s="2">
        <f>1+A16</f>
        <v>16</v>
      </c>
      <c r="B17" s="9">
        <v>46176</v>
      </c>
      <c r="C17" s="1" t="str">
        <f>TEXT(表格1_569108353456[[#This Row],[Date
日期]],"ddd")</f>
        <v>Wed</v>
      </c>
      <c r="D17" s="2" t="s">
        <v>9</v>
      </c>
      <c r="E17" s="3" t="s">
        <v>10</v>
      </c>
      <c r="F17" s="30">
        <v>77.930000000000007</v>
      </c>
      <c r="G17" s="36">
        <v>4</v>
      </c>
      <c r="H17" s="2"/>
      <c r="I17" s="27" t="s">
        <v>11</v>
      </c>
    </row>
    <row r="18" spans="1:9" ht="16" customHeight="1">
      <c r="A18" s="2">
        <v>17</v>
      </c>
      <c r="B18" s="9">
        <v>46177</v>
      </c>
      <c r="C18" s="1" t="str">
        <f>TEXT(表格1_569108353456[[#This Row],[Date
日期]],"ddd")</f>
        <v>Thu</v>
      </c>
      <c r="D18" s="2" t="s">
        <v>12</v>
      </c>
      <c r="E18" s="3" t="s">
        <v>10</v>
      </c>
      <c r="F18" s="30">
        <v>20.79</v>
      </c>
      <c r="G18" s="36">
        <v>1</v>
      </c>
      <c r="H18" s="2"/>
      <c r="I18" s="27" t="s">
        <v>11</v>
      </c>
    </row>
    <row r="19" spans="1:9" ht="16" customHeight="1">
      <c r="A19" s="2">
        <f>1+A18</f>
        <v>18</v>
      </c>
      <c r="B19" s="9">
        <v>46177</v>
      </c>
      <c r="C19" s="1" t="str">
        <f>TEXT(表格1_569108353456[[#This Row],[Date
日期]],"ddd")</f>
        <v>Thu</v>
      </c>
      <c r="D19" s="2" t="s">
        <v>9</v>
      </c>
      <c r="E19" s="3" t="s">
        <v>10</v>
      </c>
      <c r="F19" s="30">
        <v>74.44</v>
      </c>
      <c r="G19" s="36">
        <v>4</v>
      </c>
      <c r="H19" s="2"/>
      <c r="I19" s="27" t="s">
        <v>11</v>
      </c>
    </row>
    <row r="20" spans="1:9" ht="16" customHeight="1">
      <c r="A20" s="2">
        <v>19</v>
      </c>
      <c r="B20" s="9">
        <v>46178</v>
      </c>
      <c r="C20" s="1" t="str">
        <f>TEXT(表格1_569108353456[[#This Row],[Date
日期]],"ddd")</f>
        <v>Fri</v>
      </c>
      <c r="D20" s="2" t="s">
        <v>13</v>
      </c>
      <c r="E20" s="3" t="s">
        <v>10</v>
      </c>
      <c r="F20" s="30">
        <v>19.559999999999999</v>
      </c>
      <c r="G20" s="40">
        <v>3</v>
      </c>
      <c r="H20" s="2"/>
      <c r="I20" s="27" t="s">
        <v>11</v>
      </c>
    </row>
    <row r="21" spans="1:9" ht="16" customHeight="1">
      <c r="A21" s="2">
        <f>1+A20</f>
        <v>20</v>
      </c>
      <c r="B21" s="9">
        <v>46178</v>
      </c>
      <c r="C21" s="1" t="str">
        <f>TEXT(表格1_569108353456[[#This Row],[Date
日期]],"ddd")</f>
        <v>Fri</v>
      </c>
      <c r="D21" s="2" t="s">
        <v>12</v>
      </c>
      <c r="E21" s="3" t="s">
        <v>10</v>
      </c>
      <c r="F21" s="30">
        <v>49.99</v>
      </c>
      <c r="G21" s="36">
        <v>3</v>
      </c>
      <c r="H21" s="2"/>
      <c r="I21" s="27" t="s">
        <v>11</v>
      </c>
    </row>
    <row r="22" spans="1:9" ht="16" customHeight="1">
      <c r="A22" s="2">
        <v>21</v>
      </c>
      <c r="B22" s="9">
        <v>46178</v>
      </c>
      <c r="C22" s="1" t="str">
        <f>TEXT(表格1_569108353456[[#This Row],[Date
日期]],"ddd")</f>
        <v>Fri</v>
      </c>
      <c r="D22" s="2" t="s">
        <v>9</v>
      </c>
      <c r="E22" s="3" t="s">
        <v>10</v>
      </c>
      <c r="F22" s="30">
        <v>127.71</v>
      </c>
      <c r="G22" s="36">
        <v>5</v>
      </c>
      <c r="H22" s="2"/>
      <c r="I22" s="27" t="s">
        <v>11</v>
      </c>
    </row>
    <row r="23" spans="1:9" ht="16" customHeight="1">
      <c r="A23" s="2">
        <f>1+A22</f>
        <v>22</v>
      </c>
      <c r="B23" s="9">
        <v>46179</v>
      </c>
      <c r="C23" s="1" t="str">
        <f>TEXT(表格1_569108353456[[#This Row],[Date
日期]],"ddd")</f>
        <v>Sat</v>
      </c>
      <c r="D23" s="2" t="s">
        <v>12</v>
      </c>
      <c r="E23" s="3" t="s">
        <v>10</v>
      </c>
      <c r="F23" s="30">
        <v>21.7</v>
      </c>
      <c r="G23" s="36">
        <v>1</v>
      </c>
      <c r="H23" s="2"/>
      <c r="I23" s="27" t="s">
        <v>11</v>
      </c>
    </row>
    <row r="24" spans="1:9" ht="16" customHeight="1">
      <c r="A24" s="2">
        <v>23</v>
      </c>
      <c r="B24" s="9">
        <v>46179</v>
      </c>
      <c r="C24" s="1" t="str">
        <f>TEXT(表格1_569108353456[[#This Row],[Date
日期]],"ddd")</f>
        <v>Sat</v>
      </c>
      <c r="D24" s="2" t="s">
        <v>9</v>
      </c>
      <c r="E24" s="3" t="s">
        <v>10</v>
      </c>
      <c r="F24" s="30">
        <v>37.97</v>
      </c>
      <c r="G24" s="36">
        <v>2</v>
      </c>
      <c r="H24" s="2"/>
      <c r="I24" s="27" t="s">
        <v>11</v>
      </c>
    </row>
    <row r="25" spans="1:9" ht="16" customHeight="1">
      <c r="A25" s="2">
        <f>1+A24</f>
        <v>24</v>
      </c>
      <c r="B25" s="9">
        <v>46180</v>
      </c>
      <c r="C25" s="1" t="str">
        <f>TEXT(表格1_569108353456[[#This Row],[Date
日期]],"ddd")</f>
        <v>Sun</v>
      </c>
      <c r="D25" s="2" t="s">
        <v>12</v>
      </c>
      <c r="E25" s="3" t="s">
        <v>10</v>
      </c>
      <c r="F25" s="30">
        <v>21.7</v>
      </c>
      <c r="G25" s="36">
        <v>1</v>
      </c>
      <c r="H25" s="2"/>
      <c r="I25" s="27" t="s">
        <v>11</v>
      </c>
    </row>
    <row r="26" spans="1:9" ht="16" customHeight="1">
      <c r="A26" s="2">
        <v>25</v>
      </c>
      <c r="B26" s="9">
        <v>46180</v>
      </c>
      <c r="C26" s="1" t="str">
        <f>TEXT(表格1_569108353456[[#This Row],[Date
日期]],"ddd")</f>
        <v>Sun</v>
      </c>
      <c r="D26" s="2" t="s">
        <v>9</v>
      </c>
      <c r="E26" s="3" t="s">
        <v>10</v>
      </c>
      <c r="F26" s="30">
        <v>42.67</v>
      </c>
      <c r="G26" s="36">
        <v>2</v>
      </c>
      <c r="H26" s="2"/>
      <c r="I26" s="27" t="s">
        <v>11</v>
      </c>
    </row>
    <row r="27" spans="1:9" ht="16" customHeight="1">
      <c r="A27" s="2">
        <f>1+A26</f>
        <v>26</v>
      </c>
      <c r="B27" s="9">
        <v>46181</v>
      </c>
      <c r="C27" s="1" t="str">
        <f>TEXT(表格1_569108353456[[#This Row],[Date
日期]],"ddd")</f>
        <v>Mon</v>
      </c>
      <c r="D27" s="2" t="s">
        <v>9</v>
      </c>
      <c r="E27" s="3" t="s">
        <v>10</v>
      </c>
      <c r="F27" s="30">
        <v>122.97</v>
      </c>
      <c r="G27" s="36">
        <v>6</v>
      </c>
      <c r="H27" s="2"/>
      <c r="I27" s="27" t="s">
        <v>11</v>
      </c>
    </row>
    <row r="28" spans="1:9" ht="16" customHeight="1">
      <c r="A28" s="2">
        <v>27</v>
      </c>
      <c r="B28" s="9">
        <v>46182</v>
      </c>
      <c r="C28" s="1" t="str">
        <f>TEXT(表格1_569108353456[[#This Row],[Date
日期]],"ddd")</f>
        <v>Tue</v>
      </c>
      <c r="D28" s="2" t="s">
        <v>12</v>
      </c>
      <c r="E28" s="3" t="s">
        <v>10</v>
      </c>
      <c r="F28" s="30">
        <v>18.690000000000001</v>
      </c>
      <c r="G28" s="36">
        <v>2</v>
      </c>
      <c r="H28" s="2"/>
      <c r="I28" s="27" t="s">
        <v>11</v>
      </c>
    </row>
    <row r="29" spans="1:9" ht="16" customHeight="1">
      <c r="A29" s="2">
        <f>1+A28</f>
        <v>28</v>
      </c>
      <c r="B29" s="9">
        <v>46182</v>
      </c>
      <c r="C29" s="1" t="str">
        <f>TEXT(表格1_569108353456[[#This Row],[Date
日期]],"ddd")</f>
        <v>Tue</v>
      </c>
      <c r="D29" s="2" t="s">
        <v>9</v>
      </c>
      <c r="E29" s="3" t="s">
        <v>10</v>
      </c>
      <c r="F29" s="30">
        <v>106.81</v>
      </c>
      <c r="G29" s="36">
        <v>6</v>
      </c>
      <c r="H29" s="2"/>
      <c r="I29" s="27" t="s">
        <v>11</v>
      </c>
    </row>
    <row r="30" spans="1:9" ht="16" customHeight="1">
      <c r="A30" s="2">
        <v>29</v>
      </c>
      <c r="B30" s="9">
        <v>46183</v>
      </c>
      <c r="C30" s="1" t="str">
        <f>TEXT(表格1_569108353456[[#This Row],[Date
日期]],"ddd")</f>
        <v>Wed</v>
      </c>
      <c r="D30" s="2" t="s">
        <v>12</v>
      </c>
      <c r="E30" s="3" t="s">
        <v>10</v>
      </c>
      <c r="F30" s="30">
        <v>39.92</v>
      </c>
      <c r="G30" s="40">
        <v>3</v>
      </c>
      <c r="H30" s="2"/>
      <c r="I30" s="27" t="s">
        <v>11</v>
      </c>
    </row>
    <row r="31" spans="1:9" ht="16" customHeight="1">
      <c r="A31" s="2">
        <f>1+A30</f>
        <v>30</v>
      </c>
      <c r="B31" s="9">
        <v>46183</v>
      </c>
      <c r="C31" s="1" t="str">
        <f>TEXT(表格1_569108353456[[#This Row],[Date
日期]],"ddd")</f>
        <v>Wed</v>
      </c>
      <c r="D31" s="2" t="s">
        <v>9</v>
      </c>
      <c r="E31" s="3" t="s">
        <v>10</v>
      </c>
      <c r="F31" s="30">
        <v>128.57</v>
      </c>
      <c r="G31" s="36">
        <v>6</v>
      </c>
      <c r="H31" s="2"/>
      <c r="I31" s="27" t="s">
        <v>11</v>
      </c>
    </row>
    <row r="32" spans="1:9" ht="16" customHeight="1">
      <c r="A32" s="2">
        <v>31</v>
      </c>
      <c r="B32" s="9">
        <v>46184</v>
      </c>
      <c r="C32" s="1" t="str">
        <f>TEXT(表格1_569108353456[[#This Row],[Date
日期]],"ddd")</f>
        <v>Thu</v>
      </c>
      <c r="D32" s="2" t="s">
        <v>12</v>
      </c>
      <c r="E32" s="3" t="s">
        <v>10</v>
      </c>
      <c r="F32" s="30">
        <v>21</v>
      </c>
      <c r="G32" s="36">
        <v>1</v>
      </c>
      <c r="H32" s="2"/>
      <c r="I32" s="27" t="s">
        <v>11</v>
      </c>
    </row>
    <row r="33" spans="1:9" ht="16" customHeight="1">
      <c r="A33" s="2">
        <f>1+A32</f>
        <v>32</v>
      </c>
      <c r="B33" s="9">
        <v>46184</v>
      </c>
      <c r="C33" s="1" t="str">
        <f>TEXT(表格1_569108353456[[#This Row],[Date
日期]],"ddd")</f>
        <v>Thu</v>
      </c>
      <c r="D33" s="2" t="s">
        <v>12</v>
      </c>
      <c r="E33" s="3" t="s">
        <v>10</v>
      </c>
      <c r="F33" s="30">
        <v>572.83000000000004</v>
      </c>
      <c r="G33" s="36">
        <v>22</v>
      </c>
      <c r="H33" s="2"/>
      <c r="I33" s="27" t="s">
        <v>11</v>
      </c>
    </row>
    <row r="34" spans="1:9" ht="16" customHeight="1">
      <c r="A34" s="2">
        <v>33</v>
      </c>
      <c r="B34" s="9">
        <v>46186</v>
      </c>
      <c r="C34" s="1" t="str">
        <f>TEXT(表格1_569108353456[[#This Row],[Date
日期]],"ddd")</f>
        <v>Sat</v>
      </c>
      <c r="D34" s="2" t="s">
        <v>12</v>
      </c>
      <c r="E34" s="3" t="s">
        <v>10</v>
      </c>
      <c r="F34" s="30">
        <v>23.99</v>
      </c>
      <c r="G34" s="40">
        <v>4</v>
      </c>
      <c r="H34" s="2"/>
      <c r="I34" s="27" t="s">
        <v>11</v>
      </c>
    </row>
    <row r="35" spans="1:9" ht="16" customHeight="1">
      <c r="A35" s="2">
        <f>1+A34</f>
        <v>34</v>
      </c>
      <c r="B35" s="9">
        <v>46186</v>
      </c>
      <c r="C35" s="1" t="str">
        <f>TEXT(表格1_569108353456[[#This Row],[Date
日期]],"ddd")</f>
        <v>Sat</v>
      </c>
      <c r="D35" s="2" t="s">
        <v>9</v>
      </c>
      <c r="E35" s="3" t="s">
        <v>10</v>
      </c>
      <c r="F35" s="30">
        <v>35.61</v>
      </c>
      <c r="G35" s="36">
        <v>2</v>
      </c>
      <c r="H35" s="2"/>
      <c r="I35" s="27" t="s">
        <v>11</v>
      </c>
    </row>
    <row r="36" spans="1:9" ht="16" customHeight="1">
      <c r="A36" s="2">
        <v>35</v>
      </c>
      <c r="B36" s="9">
        <v>46187</v>
      </c>
      <c r="C36" s="1" t="str">
        <f>TEXT(表格1_569108353456[[#This Row],[Date
日期]],"ddd")</f>
        <v>Sun</v>
      </c>
      <c r="D36" s="2" t="s">
        <v>12</v>
      </c>
      <c r="E36" s="3" t="s">
        <v>10</v>
      </c>
      <c r="F36" s="30">
        <v>41.5</v>
      </c>
      <c r="G36" s="36">
        <v>2</v>
      </c>
      <c r="H36" s="2"/>
      <c r="I36" s="27" t="s">
        <v>11</v>
      </c>
    </row>
    <row r="37" spans="1:9" ht="16" customHeight="1">
      <c r="A37" s="2">
        <f>1+A36</f>
        <v>36</v>
      </c>
      <c r="B37" s="9">
        <v>46188</v>
      </c>
      <c r="C37" s="1" t="str">
        <f>TEXT(表格1_569108353456[[#This Row],[Date
日期]],"ddd")</f>
        <v>Mon</v>
      </c>
      <c r="D37" s="2" t="s">
        <v>12</v>
      </c>
      <c r="E37" s="3" t="s">
        <v>10</v>
      </c>
      <c r="F37" s="30">
        <v>413.54</v>
      </c>
      <c r="G37" s="36">
        <v>19</v>
      </c>
      <c r="H37" s="2"/>
      <c r="I37" s="27" t="s">
        <v>11</v>
      </c>
    </row>
    <row r="38" spans="1:9" ht="16" customHeight="1">
      <c r="A38" s="2">
        <v>37</v>
      </c>
      <c r="B38" s="9">
        <v>46189</v>
      </c>
      <c r="C38" s="1" t="str">
        <f>TEXT(表格1_569108353456[[#This Row],[Date
日期]],"ddd")</f>
        <v>Tue</v>
      </c>
      <c r="D38" s="2" t="s">
        <v>12</v>
      </c>
      <c r="E38" s="3" t="s">
        <v>10</v>
      </c>
      <c r="F38" s="30">
        <v>63.62</v>
      </c>
      <c r="G38" s="36">
        <v>4</v>
      </c>
      <c r="H38" s="2"/>
      <c r="I38" s="27" t="s">
        <v>11</v>
      </c>
    </row>
    <row r="39" spans="1:9" ht="16" customHeight="1">
      <c r="A39" s="2">
        <f>1+A38</f>
        <v>38</v>
      </c>
      <c r="B39" s="9">
        <v>46189</v>
      </c>
      <c r="C39" s="1" t="str">
        <f>TEXT(表格1_569108353456[[#This Row],[Date
日期]],"ddd")</f>
        <v>Tue</v>
      </c>
      <c r="D39" s="2" t="s">
        <v>9</v>
      </c>
      <c r="E39" s="3" t="s">
        <v>10</v>
      </c>
      <c r="F39" s="30">
        <v>71.209999999999994</v>
      </c>
      <c r="G39" s="36">
        <v>4</v>
      </c>
      <c r="H39" s="2"/>
      <c r="I39" s="27" t="s">
        <v>11</v>
      </c>
    </row>
    <row r="40" spans="1:9" ht="16" customHeight="1">
      <c r="A40" s="2">
        <v>39</v>
      </c>
      <c r="B40" s="9">
        <v>46190</v>
      </c>
      <c r="C40" s="1" t="str">
        <f>TEXT(表格1_569108353456[[#This Row],[Date
日期]],"ddd")</f>
        <v>Wed</v>
      </c>
      <c r="D40" s="2" t="s">
        <v>12</v>
      </c>
      <c r="E40" s="3" t="s">
        <v>10</v>
      </c>
      <c r="F40" s="30">
        <v>49.84</v>
      </c>
      <c r="G40" s="40">
        <v>3</v>
      </c>
      <c r="H40" s="2"/>
      <c r="I40" s="27" t="s">
        <v>11</v>
      </c>
    </row>
    <row r="41" spans="1:9" ht="16" customHeight="1">
      <c r="A41" s="2">
        <f>1+A40</f>
        <v>40</v>
      </c>
      <c r="B41" s="9">
        <v>46190</v>
      </c>
      <c r="C41" s="1" t="str">
        <f>TEXT(表格1_569108353456[[#This Row],[Date
日期]],"ddd")</f>
        <v>Wed</v>
      </c>
      <c r="D41" s="2" t="s">
        <v>9</v>
      </c>
      <c r="E41" s="3" t="s">
        <v>10</v>
      </c>
      <c r="F41" s="30">
        <v>71.209999999999994</v>
      </c>
      <c r="G41" s="36">
        <v>4</v>
      </c>
      <c r="H41" s="2"/>
      <c r="I41" s="27" t="s">
        <v>11</v>
      </c>
    </row>
    <row r="42" spans="1:9" ht="16" customHeight="1">
      <c r="A42" s="2">
        <v>41</v>
      </c>
      <c r="B42" s="9">
        <v>46191</v>
      </c>
      <c r="C42" s="1" t="str">
        <f>TEXT(表格1_569108353456[[#This Row],[Date
日期]],"ddd")</f>
        <v>Thu</v>
      </c>
      <c r="D42" s="2" t="s">
        <v>12</v>
      </c>
      <c r="E42" s="3" t="s">
        <v>10</v>
      </c>
      <c r="F42" s="30">
        <v>34.26</v>
      </c>
      <c r="G42" s="36">
        <v>2</v>
      </c>
      <c r="H42" s="2"/>
      <c r="I42" s="27" t="s">
        <v>11</v>
      </c>
    </row>
    <row r="43" spans="1:9" ht="16" customHeight="1">
      <c r="A43" s="2">
        <f>1+A42</f>
        <v>42</v>
      </c>
      <c r="B43" s="9">
        <v>46191</v>
      </c>
      <c r="C43" s="1" t="str">
        <f>TEXT(表格1_569108353456[[#This Row],[Date
日期]],"ddd")</f>
        <v>Thu</v>
      </c>
      <c r="D43" s="2" t="s">
        <v>9</v>
      </c>
      <c r="E43" s="3" t="s">
        <v>10</v>
      </c>
      <c r="F43" s="30">
        <v>106.66</v>
      </c>
      <c r="G43" s="36">
        <v>5</v>
      </c>
      <c r="H43" s="2"/>
      <c r="I43" s="27" t="s">
        <v>11</v>
      </c>
    </row>
    <row r="44" spans="1:9" ht="16" customHeight="1">
      <c r="A44" s="2">
        <v>43</v>
      </c>
      <c r="B44" s="9">
        <v>46192</v>
      </c>
      <c r="C44" s="1" t="str">
        <f>TEXT(表格1_569108353456[[#This Row],[Date
日期]],"ddd")</f>
        <v>Fri</v>
      </c>
      <c r="D44" s="2" t="s">
        <v>12</v>
      </c>
      <c r="E44" s="3" t="s">
        <v>10</v>
      </c>
      <c r="F44" s="30">
        <v>22.52</v>
      </c>
      <c r="G44" s="36">
        <v>1</v>
      </c>
      <c r="H44" s="2"/>
      <c r="I44" s="27" t="s">
        <v>11</v>
      </c>
    </row>
    <row r="45" spans="1:9" ht="16" customHeight="1">
      <c r="A45" s="2">
        <f>1+A44</f>
        <v>44</v>
      </c>
      <c r="B45" s="9">
        <v>46192</v>
      </c>
      <c r="C45" s="1" t="str">
        <f>TEXT(表格1_569108353456[[#This Row],[Date
日期]],"ddd")</f>
        <v>Fri</v>
      </c>
      <c r="D45" s="2" t="s">
        <v>9</v>
      </c>
      <c r="E45" s="3" t="s">
        <v>10</v>
      </c>
      <c r="F45" s="30">
        <v>112.54</v>
      </c>
      <c r="G45" s="36">
        <v>5</v>
      </c>
      <c r="H45" s="2"/>
      <c r="I45" s="27" t="s">
        <v>11</v>
      </c>
    </row>
    <row r="46" spans="1:9" ht="16" customHeight="1">
      <c r="A46" s="2">
        <v>45</v>
      </c>
      <c r="B46" s="9">
        <v>46192</v>
      </c>
      <c r="C46" s="1" t="str">
        <f>TEXT(表格1_569108353456[[#This Row],[Date
日期]],"ddd")</f>
        <v>Fri</v>
      </c>
      <c r="D46" s="2" t="s">
        <v>9</v>
      </c>
      <c r="E46" s="3" t="s">
        <v>10</v>
      </c>
      <c r="F46" s="30">
        <v>20.43</v>
      </c>
      <c r="G46" s="36">
        <v>1</v>
      </c>
      <c r="H46" s="2"/>
      <c r="I46" s="27" t="s">
        <v>11</v>
      </c>
    </row>
    <row r="47" spans="1:9" ht="16" customHeight="1">
      <c r="A47" s="2">
        <f>1+A46</f>
        <v>46</v>
      </c>
      <c r="B47" s="9">
        <v>46193</v>
      </c>
      <c r="C47" s="1" t="str">
        <f>TEXT(表格1_569108353456[[#This Row],[Date
日期]],"ddd")</f>
        <v>Sat</v>
      </c>
      <c r="D47" s="2" t="s">
        <v>12</v>
      </c>
      <c r="E47" s="3" t="s">
        <v>10</v>
      </c>
      <c r="F47" s="30">
        <v>24.03</v>
      </c>
      <c r="G47" s="36">
        <v>1</v>
      </c>
      <c r="H47" s="2"/>
      <c r="I47" s="27" t="s">
        <v>11</v>
      </c>
    </row>
    <row r="48" spans="1:9" ht="16" customHeight="1">
      <c r="A48" s="2">
        <v>47</v>
      </c>
      <c r="B48" s="9">
        <v>46193</v>
      </c>
      <c r="C48" s="1" t="str">
        <f>TEXT(表格1_569108353456[[#This Row],[Date
日期]],"ddd")</f>
        <v>Sat</v>
      </c>
      <c r="D48" s="2" t="s">
        <v>9</v>
      </c>
      <c r="E48" s="3" t="s">
        <v>10</v>
      </c>
      <c r="F48" s="30">
        <v>34.26</v>
      </c>
      <c r="G48" s="36">
        <v>2</v>
      </c>
      <c r="H48" s="2"/>
      <c r="I48" s="27" t="s">
        <v>11</v>
      </c>
    </row>
    <row r="49" spans="1:9" ht="16" customHeight="1">
      <c r="A49" s="2"/>
      <c r="B49" s="9"/>
      <c r="C49" s="1"/>
      <c r="D49" s="2"/>
      <c r="E49" s="3"/>
      <c r="F49" s="30"/>
      <c r="G49" s="36"/>
      <c r="H49" s="2"/>
      <c r="I49" s="2"/>
    </row>
    <row r="50" spans="1:9" ht="16" customHeight="1">
      <c r="A50" s="5"/>
      <c r="B50" s="20"/>
      <c r="C50" s="1"/>
      <c r="D50" s="7"/>
      <c r="E50" s="21"/>
      <c r="F50" s="31"/>
      <c r="G50" s="37"/>
      <c r="H50" s="7"/>
      <c r="I50" s="23"/>
    </row>
    <row r="51" spans="1:9" ht="16" customHeight="1">
      <c r="A51" s="2"/>
      <c r="B51" s="15"/>
      <c r="C51" s="1"/>
      <c r="D51" s="2"/>
      <c r="E51" s="16" t="s">
        <v>14</v>
      </c>
      <c r="F51" s="32">
        <f>SUM(F2:F50)</f>
        <v>3442.6300000000006</v>
      </c>
      <c r="G51" s="35"/>
      <c r="H51" s="19"/>
      <c r="I51" s="19"/>
    </row>
    <row r="52" spans="1:9">
      <c r="A52">
        <v>1</v>
      </c>
      <c r="B52" t="s">
        <v>15</v>
      </c>
      <c r="C52" t="s">
        <v>16</v>
      </c>
      <c r="D52" t="s">
        <v>9</v>
      </c>
      <c r="E52" t="s">
        <v>10</v>
      </c>
      <c r="F52" s="41">
        <v>112.54</v>
      </c>
    </row>
    <row r="53" spans="1:9">
      <c r="A53">
        <v>2</v>
      </c>
      <c r="B53" t="s">
        <v>15</v>
      </c>
      <c r="C53" t="s">
        <v>16</v>
      </c>
      <c r="D53" t="s">
        <v>12</v>
      </c>
      <c r="E53" t="s">
        <v>10</v>
      </c>
      <c r="F53" s="41">
        <v>21.7</v>
      </c>
    </row>
  </sheetData>
  <pageMargins left="0.7" right="0.7" top="0.75" bottom="0.75" header="0.3" footer="0.3"/>
  <pageSetup scale="5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5"/>
  <sheetViews>
    <sheetView zoomScale="70" zoomScaleNormal="70" workbookViewId="0">
      <selection activeCell="I25" sqref="A1:I25"/>
    </sheetView>
  </sheetViews>
  <sheetFormatPr defaultRowHeight="14.75"/>
  <cols>
    <col min="2" max="2" width="12.2265625" customWidth="1"/>
    <col min="5" max="5" width="27.58984375" customWidth="1"/>
    <col min="6" max="6" width="11.453125" customWidth="1"/>
    <col min="8" max="8" width="48.36328125" customWidth="1"/>
  </cols>
  <sheetData>
    <row r="1" spans="1:9" ht="85.5" customHeight="1">
      <c r="A1" s="10" t="s">
        <v>0</v>
      </c>
      <c r="B1" s="10" t="s">
        <v>1</v>
      </c>
      <c r="C1" s="11" t="s">
        <v>2</v>
      </c>
      <c r="D1" s="11" t="s">
        <v>3</v>
      </c>
      <c r="E1" s="12" t="s">
        <v>4</v>
      </c>
      <c r="F1" s="13" t="s">
        <v>5</v>
      </c>
      <c r="G1" s="14" t="s">
        <v>6</v>
      </c>
      <c r="H1" s="14" t="s">
        <v>7</v>
      </c>
      <c r="I1" s="14" t="s">
        <v>8</v>
      </c>
    </row>
    <row r="2" spans="1:9" ht="24.45" customHeight="1">
      <c r="A2" s="2">
        <v>1</v>
      </c>
      <c r="B2" s="9">
        <v>46102</v>
      </c>
      <c r="C2" s="1" t="str">
        <f>TEXT(表格1_5691083534[[#This Row],[Date
日期]],"ddd")</f>
        <v>Sat</v>
      </c>
      <c r="D2" s="2" t="s">
        <v>12</v>
      </c>
      <c r="E2" s="3" t="s">
        <v>19</v>
      </c>
      <c r="F2" s="3">
        <v>17.45</v>
      </c>
      <c r="G2" s="4">
        <v>1</v>
      </c>
      <c r="H2" s="2" t="s">
        <v>20</v>
      </c>
      <c r="I2" s="2" t="s">
        <v>20</v>
      </c>
    </row>
    <row r="3" spans="1:9" ht="24.45" customHeight="1">
      <c r="A3" s="2">
        <f t="shared" ref="A3:A21" si="0">1+A2</f>
        <v>2</v>
      </c>
      <c r="B3" s="9">
        <v>46104</v>
      </c>
      <c r="C3" s="1" t="str">
        <f>TEXT(表格1_5691083534[[#This Row],[Date
日期]],"ddd")</f>
        <v>Mon</v>
      </c>
      <c r="D3" s="2" t="s">
        <v>9</v>
      </c>
      <c r="E3" s="3" t="s">
        <v>21</v>
      </c>
      <c r="F3" s="3">
        <v>23.87</v>
      </c>
      <c r="G3" s="4">
        <v>1</v>
      </c>
      <c r="H3" s="2" t="s">
        <v>22</v>
      </c>
      <c r="I3" s="2" t="s">
        <v>11</v>
      </c>
    </row>
    <row r="4" spans="1:9" ht="24.45" customHeight="1">
      <c r="A4" s="2">
        <f t="shared" si="0"/>
        <v>3</v>
      </c>
      <c r="B4" s="9">
        <v>46104</v>
      </c>
      <c r="C4" s="1" t="str">
        <f>TEXT(表格1_5691083534[[#This Row],[Date
日期]],"ddd")</f>
        <v>Mon</v>
      </c>
      <c r="D4" s="2" t="s">
        <v>12</v>
      </c>
      <c r="E4" s="3" t="s">
        <v>21</v>
      </c>
      <c r="F4" s="3">
        <v>21.46</v>
      </c>
      <c r="G4" s="4">
        <v>1</v>
      </c>
      <c r="H4" s="2" t="s">
        <v>23</v>
      </c>
      <c r="I4" s="2" t="s">
        <v>11</v>
      </c>
    </row>
    <row r="5" spans="1:9" ht="24.45" customHeight="1">
      <c r="A5" s="2">
        <f t="shared" si="0"/>
        <v>4</v>
      </c>
      <c r="B5" s="9">
        <v>46105</v>
      </c>
      <c r="C5" s="1" t="str">
        <f>TEXT(表格1_5691083534[[#This Row],[Date
日期]],"ddd")</f>
        <v>Tue</v>
      </c>
      <c r="D5" s="2" t="s">
        <v>9</v>
      </c>
      <c r="E5" s="3" t="s">
        <v>21</v>
      </c>
      <c r="F5" s="3">
        <v>23.49</v>
      </c>
      <c r="G5" s="4">
        <v>1</v>
      </c>
      <c r="H5" s="2" t="s">
        <v>22</v>
      </c>
      <c r="I5" s="2" t="s">
        <v>11</v>
      </c>
    </row>
    <row r="6" spans="1:9" ht="24.45" customHeight="1">
      <c r="A6" s="2">
        <f t="shared" si="0"/>
        <v>5</v>
      </c>
      <c r="B6" s="9">
        <v>46106</v>
      </c>
      <c r="C6" s="1" t="str">
        <f>TEXT(表格1_5691083534[[#This Row],[Date
日期]],"ddd")</f>
        <v>Wed</v>
      </c>
      <c r="D6" s="2" t="s">
        <v>9</v>
      </c>
      <c r="E6" s="3" t="s">
        <v>21</v>
      </c>
      <c r="F6" s="3">
        <v>54.68</v>
      </c>
      <c r="G6" s="4">
        <v>2</v>
      </c>
      <c r="H6" s="2" t="s">
        <v>22</v>
      </c>
      <c r="I6" s="2" t="s">
        <v>11</v>
      </c>
    </row>
    <row r="7" spans="1:9" ht="24.45" customHeight="1">
      <c r="A7" s="2">
        <f t="shared" si="0"/>
        <v>6</v>
      </c>
      <c r="B7" s="9">
        <v>46107</v>
      </c>
      <c r="C7" s="1" t="str">
        <f>TEXT(表格1_5691083534[[#This Row],[Date
日期]],"ddd")</f>
        <v>Thu</v>
      </c>
      <c r="D7" s="2" t="s">
        <v>9</v>
      </c>
      <c r="E7" s="3" t="s">
        <v>21</v>
      </c>
      <c r="F7" s="3">
        <v>21.47</v>
      </c>
      <c r="G7" s="4">
        <v>1</v>
      </c>
      <c r="H7" s="2" t="s">
        <v>22</v>
      </c>
      <c r="I7" s="2" t="s">
        <v>11</v>
      </c>
    </row>
    <row r="8" spans="1:9" ht="24.45" customHeight="1">
      <c r="A8" s="2">
        <f t="shared" si="0"/>
        <v>7</v>
      </c>
      <c r="B8" s="9">
        <v>46108</v>
      </c>
      <c r="C8" s="1" t="str">
        <f>TEXT(表格1_5691083534[[#This Row],[Date
日期]],"ddd")</f>
        <v>Fri</v>
      </c>
      <c r="D8" s="2" t="s">
        <v>9</v>
      </c>
      <c r="E8" s="3" t="s">
        <v>24</v>
      </c>
      <c r="F8" s="3">
        <v>14.77</v>
      </c>
      <c r="G8" s="4">
        <v>1</v>
      </c>
      <c r="H8" s="2" t="s">
        <v>25</v>
      </c>
      <c r="I8" s="2" t="s">
        <v>25</v>
      </c>
    </row>
    <row r="9" spans="1:9" ht="24.45" customHeight="1">
      <c r="A9" s="2">
        <f t="shared" si="0"/>
        <v>8</v>
      </c>
      <c r="B9" s="9">
        <v>46108</v>
      </c>
      <c r="C9" s="1" t="str">
        <f>TEXT(表格1_5691083534[[#This Row],[Date
日期]],"ddd")</f>
        <v>Fri</v>
      </c>
      <c r="D9" s="2" t="s">
        <v>9</v>
      </c>
      <c r="E9" s="3" t="s">
        <v>21</v>
      </c>
      <c r="F9" s="3">
        <v>23.45</v>
      </c>
      <c r="G9" s="4">
        <v>1</v>
      </c>
      <c r="H9" s="2" t="s">
        <v>22</v>
      </c>
      <c r="I9" s="2" t="s">
        <v>11</v>
      </c>
    </row>
    <row r="10" spans="1:9" ht="24.45" customHeight="1">
      <c r="A10" s="2">
        <f t="shared" si="0"/>
        <v>9</v>
      </c>
      <c r="B10" s="9">
        <v>46112</v>
      </c>
      <c r="C10" s="1" t="str">
        <f>TEXT(表格1_5691083534[[#This Row],[Date
日期]],"ddd")</f>
        <v>Tue</v>
      </c>
      <c r="D10" s="2" t="s">
        <v>12</v>
      </c>
      <c r="E10" s="3" t="s">
        <v>21</v>
      </c>
      <c r="F10" s="3">
        <v>67.97</v>
      </c>
      <c r="G10" s="4">
        <v>3</v>
      </c>
      <c r="H10" s="2" t="s">
        <v>26</v>
      </c>
      <c r="I10" s="2" t="s">
        <v>11</v>
      </c>
    </row>
    <row r="11" spans="1:9" ht="24.45" customHeight="1">
      <c r="A11" s="2">
        <f t="shared" si="0"/>
        <v>10</v>
      </c>
      <c r="B11" s="9">
        <v>46113</v>
      </c>
      <c r="C11" s="1" t="str">
        <f>TEXT(表格1_5691083534[[#This Row],[Date
日期]],"ddd")</f>
        <v>Wed</v>
      </c>
      <c r="D11" s="2" t="s">
        <v>12</v>
      </c>
      <c r="E11" s="3" t="s">
        <v>21</v>
      </c>
      <c r="F11" s="3">
        <v>75.569999999999993</v>
      </c>
      <c r="G11" s="4">
        <v>3</v>
      </c>
      <c r="H11" s="2" t="s">
        <v>27</v>
      </c>
      <c r="I11" s="2" t="s">
        <v>11</v>
      </c>
    </row>
    <row r="12" spans="1:9" ht="24.45" customHeight="1">
      <c r="A12" s="2">
        <f t="shared" si="0"/>
        <v>11</v>
      </c>
      <c r="B12" s="9">
        <v>46113</v>
      </c>
      <c r="C12" s="1" t="str">
        <f>TEXT(表格1_5691083534[[#This Row],[Date
日期]],"ddd")</f>
        <v>Wed</v>
      </c>
      <c r="D12" s="2" t="s">
        <v>12</v>
      </c>
      <c r="E12" s="3" t="s">
        <v>21</v>
      </c>
      <c r="F12" s="3">
        <v>91.43</v>
      </c>
      <c r="G12" s="4">
        <v>4</v>
      </c>
      <c r="H12" s="2" t="s">
        <v>28</v>
      </c>
      <c r="I12" s="2" t="s">
        <v>11</v>
      </c>
    </row>
    <row r="13" spans="1:9" ht="24.45" customHeight="1">
      <c r="A13" s="2">
        <f t="shared" si="0"/>
        <v>12</v>
      </c>
      <c r="B13" s="9">
        <v>46114</v>
      </c>
      <c r="C13" s="1" t="str">
        <f>TEXT(表格1_5691083534[[#This Row],[Date
日期]],"ddd")</f>
        <v>Thu</v>
      </c>
      <c r="D13" s="2" t="s">
        <v>12</v>
      </c>
      <c r="E13" s="3" t="s">
        <v>21</v>
      </c>
      <c r="F13" s="3">
        <v>42.04</v>
      </c>
      <c r="G13" s="4">
        <v>2</v>
      </c>
      <c r="H13" s="2" t="s">
        <v>29</v>
      </c>
      <c r="I13" s="2" t="s">
        <v>11</v>
      </c>
    </row>
    <row r="14" spans="1:9" ht="24.45" customHeight="1">
      <c r="A14" s="2">
        <f t="shared" si="0"/>
        <v>13</v>
      </c>
      <c r="B14" s="9">
        <v>46119</v>
      </c>
      <c r="C14" s="1" t="str">
        <f>TEXT(表格1_5691083534[[#This Row],[Date
日期]],"ddd")</f>
        <v>Tue</v>
      </c>
      <c r="D14" s="2" t="s">
        <v>12</v>
      </c>
      <c r="E14" s="3" t="s">
        <v>21</v>
      </c>
      <c r="F14" s="3">
        <v>23.94</v>
      </c>
      <c r="G14" s="4">
        <v>1</v>
      </c>
      <c r="H14" s="2" t="s">
        <v>17</v>
      </c>
      <c r="I14" s="2" t="s">
        <v>11</v>
      </c>
    </row>
    <row r="15" spans="1:9" ht="24.45" customHeight="1">
      <c r="A15" s="2">
        <f t="shared" si="0"/>
        <v>14</v>
      </c>
      <c r="B15" s="9">
        <v>46120</v>
      </c>
      <c r="C15" s="1" t="str">
        <f>TEXT(表格1_5691083534[[#This Row],[Date
日期]],"ddd")</f>
        <v>Wed</v>
      </c>
      <c r="D15" s="2" t="s">
        <v>12</v>
      </c>
      <c r="E15" s="3" t="s">
        <v>21</v>
      </c>
      <c r="F15" s="3">
        <v>23.63</v>
      </c>
      <c r="G15" s="4">
        <v>1</v>
      </c>
      <c r="H15" s="2" t="s">
        <v>17</v>
      </c>
      <c r="I15" s="2" t="s">
        <v>11</v>
      </c>
    </row>
    <row r="16" spans="1:9" ht="24.45" customHeight="1">
      <c r="A16" s="2">
        <f t="shared" si="0"/>
        <v>15</v>
      </c>
      <c r="B16" s="9">
        <v>46120</v>
      </c>
      <c r="C16" s="1" t="str">
        <f>TEXT(表格1_5691083534[[#This Row],[Date
日期]],"ddd")</f>
        <v>Wed</v>
      </c>
      <c r="D16" s="2" t="s">
        <v>12</v>
      </c>
      <c r="E16" s="3" t="s">
        <v>21</v>
      </c>
      <c r="F16" s="3">
        <v>34.97</v>
      </c>
      <c r="G16" s="4">
        <v>2</v>
      </c>
      <c r="H16" s="2" t="s">
        <v>30</v>
      </c>
      <c r="I16" s="2" t="s">
        <v>11</v>
      </c>
    </row>
    <row r="17" spans="1:9" ht="24.45" customHeight="1">
      <c r="A17" s="2">
        <f t="shared" si="0"/>
        <v>16</v>
      </c>
      <c r="B17" s="9">
        <v>46121</v>
      </c>
      <c r="C17" s="1" t="str">
        <f>TEXT(表格1_5691083534[[#This Row],[Date
日期]],"ddd")</f>
        <v>Thu</v>
      </c>
      <c r="D17" s="2" t="s">
        <v>12</v>
      </c>
      <c r="E17" s="3" t="s">
        <v>21</v>
      </c>
      <c r="F17" s="3">
        <v>21.81</v>
      </c>
      <c r="G17" s="4">
        <v>1</v>
      </c>
      <c r="H17" s="2" t="s">
        <v>31</v>
      </c>
      <c r="I17" s="2" t="s">
        <v>11</v>
      </c>
    </row>
    <row r="18" spans="1:9" ht="24.45" customHeight="1">
      <c r="A18" s="2">
        <f t="shared" si="0"/>
        <v>17</v>
      </c>
      <c r="B18" s="9">
        <v>46129</v>
      </c>
      <c r="C18" s="1" t="str">
        <f>TEXT(表格1_5691083534[[#This Row],[Date
日期]],"ddd")</f>
        <v>Fri</v>
      </c>
      <c r="D18" s="2" t="s">
        <v>18</v>
      </c>
      <c r="E18" s="3" t="s">
        <v>21</v>
      </c>
      <c r="F18" s="3">
        <v>152.91</v>
      </c>
      <c r="G18" s="4">
        <v>22</v>
      </c>
      <c r="H18" s="2" t="s">
        <v>32</v>
      </c>
      <c r="I18" s="2" t="s">
        <v>22</v>
      </c>
    </row>
    <row r="19" spans="1:9" ht="24.45" customHeight="1">
      <c r="A19" s="2">
        <f t="shared" si="0"/>
        <v>18</v>
      </c>
      <c r="B19" s="9">
        <v>46129</v>
      </c>
      <c r="C19" s="1" t="str">
        <f>TEXT(表格1_5691083534[[#This Row],[Date
日期]],"ddd")</f>
        <v>Fri</v>
      </c>
      <c r="D19" s="2" t="s">
        <v>12</v>
      </c>
      <c r="E19" s="3" t="s">
        <v>21</v>
      </c>
      <c r="F19" s="3">
        <v>20.37</v>
      </c>
      <c r="G19" s="4">
        <v>1</v>
      </c>
      <c r="H19" s="2" t="s">
        <v>33</v>
      </c>
      <c r="I19" s="2" t="s">
        <v>11</v>
      </c>
    </row>
    <row r="20" spans="1:9" ht="24.45" customHeight="1">
      <c r="A20" s="2">
        <f t="shared" si="0"/>
        <v>19</v>
      </c>
      <c r="B20" s="9">
        <v>46129</v>
      </c>
      <c r="C20" s="1" t="str">
        <f>TEXT(表格1_5691083534[[#This Row],[Date
日期]],"ddd")</f>
        <v>Fri</v>
      </c>
      <c r="D20" s="2" t="s">
        <v>12</v>
      </c>
      <c r="E20" s="3" t="s">
        <v>21</v>
      </c>
      <c r="F20" s="3">
        <v>21.86</v>
      </c>
      <c r="G20" s="4">
        <v>1</v>
      </c>
      <c r="H20" s="2" t="s">
        <v>20</v>
      </c>
      <c r="I20" s="2" t="s">
        <v>11</v>
      </c>
    </row>
    <row r="21" spans="1:9" ht="24.45" customHeight="1">
      <c r="A21" s="2">
        <f t="shared" si="0"/>
        <v>20</v>
      </c>
      <c r="B21" s="9">
        <v>46129</v>
      </c>
      <c r="C21" s="1" t="str">
        <f>TEXT(表格1_5691083534[[#This Row],[Date
日期]],"ddd")</f>
        <v>Fri</v>
      </c>
      <c r="D21" s="2" t="s">
        <v>12</v>
      </c>
      <c r="E21" s="3" t="s">
        <v>21</v>
      </c>
      <c r="F21" s="3">
        <v>408.21</v>
      </c>
      <c r="G21" s="4">
        <v>16</v>
      </c>
      <c r="H21" s="2" t="s">
        <v>32</v>
      </c>
      <c r="I21" s="2" t="s">
        <v>11</v>
      </c>
    </row>
    <row r="22" spans="1:9" ht="24.45" customHeight="1">
      <c r="A22" s="2">
        <v>21</v>
      </c>
      <c r="B22" s="9">
        <v>46108</v>
      </c>
      <c r="C22" s="1" t="str">
        <f>TEXT(表格1_5691083534[[#This Row],[Date
日期]],"ddd")</f>
        <v>Fri</v>
      </c>
      <c r="D22" s="2" t="s">
        <v>9</v>
      </c>
      <c r="E22" s="3" t="s">
        <v>34</v>
      </c>
      <c r="F22" s="3">
        <v>19.690000000000001</v>
      </c>
      <c r="G22" s="4">
        <v>1</v>
      </c>
      <c r="H22" s="2" t="s">
        <v>11</v>
      </c>
      <c r="I22" s="2" t="s">
        <v>11</v>
      </c>
    </row>
    <row r="23" spans="1:9" ht="24.45" customHeight="1">
      <c r="A23" s="2">
        <v>22</v>
      </c>
      <c r="B23" s="9">
        <v>46113</v>
      </c>
      <c r="C23" s="1" t="str">
        <f>TEXT(表格1_5691083534[[#This Row],[Date
日期]],"ddd")</f>
        <v>Wed</v>
      </c>
      <c r="D23" s="2" t="s">
        <v>9</v>
      </c>
      <c r="E23" s="3" t="s">
        <v>34</v>
      </c>
      <c r="F23" s="3">
        <v>9.4600000000000009</v>
      </c>
      <c r="G23" s="4">
        <v>1</v>
      </c>
      <c r="H23" s="2" t="s">
        <v>11</v>
      </c>
      <c r="I23" s="2" t="s">
        <v>11</v>
      </c>
    </row>
    <row r="24" spans="1:9" ht="24.45" customHeight="1">
      <c r="A24" s="5">
        <v>23</v>
      </c>
      <c r="B24" s="20"/>
      <c r="C24" s="6"/>
      <c r="D24" s="7"/>
      <c r="E24" s="21"/>
      <c r="F24" s="21"/>
      <c r="G24" s="22"/>
      <c r="H24" s="7"/>
      <c r="I24" s="23"/>
    </row>
    <row r="25" spans="1:9" s="8" customFormat="1" ht="22" customHeight="1">
      <c r="A25" s="2"/>
      <c r="B25" s="15"/>
      <c r="C25" s="1"/>
      <c r="D25" s="2"/>
      <c r="E25" s="16" t="s">
        <v>14</v>
      </c>
      <c r="F25" s="17">
        <f>SUM(F2:F24)</f>
        <v>1214.5</v>
      </c>
      <c r="G25" s="18"/>
      <c r="H25" s="19"/>
      <c r="I25" s="19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4"/>
  <sheetViews>
    <sheetView tabSelected="1" workbookViewId="0">
      <selection activeCell="E40" sqref="E40"/>
    </sheetView>
  </sheetViews>
  <sheetFormatPr defaultRowHeight="14.75"/>
  <cols>
    <col min="1" max="1" width="20" customWidth="1"/>
    <col min="2" max="2" width="12" customWidth="1"/>
    <col min="3" max="3" width="15" customWidth="1"/>
    <col min="4" max="4" width="12" customWidth="1"/>
    <col min="5" max="5" width="42" customWidth="1"/>
    <col min="6" max="6" width="13" customWidth="1"/>
  </cols>
  <sheetData>
    <row r="1" spans="1:6" ht="42" customHeight="1">
      <c r="A1" s="42" t="s">
        <v>35</v>
      </c>
      <c r="B1" s="42" t="s">
        <v>1</v>
      </c>
      <c r="C1" s="42" t="s">
        <v>2</v>
      </c>
      <c r="D1" s="42" t="s">
        <v>3</v>
      </c>
      <c r="E1" s="42" t="s">
        <v>36</v>
      </c>
      <c r="F1" s="43" t="s">
        <v>5</v>
      </c>
    </row>
    <row r="2" spans="1:6">
      <c r="A2" s="44">
        <v>1</v>
      </c>
      <c r="B2" s="44" t="s">
        <v>37</v>
      </c>
      <c r="C2" s="44" t="s">
        <v>38</v>
      </c>
      <c r="D2" s="44" t="s">
        <v>12</v>
      </c>
      <c r="E2" s="44" t="s">
        <v>10</v>
      </c>
      <c r="F2" s="45">
        <v>413.54</v>
      </c>
    </row>
    <row r="3" spans="1:6">
      <c r="A3" s="44">
        <v>2</v>
      </c>
      <c r="B3" s="44" t="s">
        <v>39</v>
      </c>
      <c r="C3" s="44" t="s">
        <v>40</v>
      </c>
      <c r="D3" s="44" t="s">
        <v>9</v>
      </c>
      <c r="E3" s="44" t="s">
        <v>10</v>
      </c>
      <c r="F3" s="45">
        <v>71.209999999999994</v>
      </c>
    </row>
    <row r="4" spans="1:6">
      <c r="A4" s="44">
        <v>3</v>
      </c>
      <c r="B4" s="44" t="s">
        <v>39</v>
      </c>
      <c r="C4" s="44" t="s">
        <v>40</v>
      </c>
      <c r="D4" s="44" t="s">
        <v>12</v>
      </c>
      <c r="E4" s="44" t="s">
        <v>10</v>
      </c>
      <c r="F4" s="45">
        <v>63.62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0521-0620</vt:lpstr>
      <vt:lpstr>0321-0420</vt:lpstr>
      <vt:lpstr>06.15-06.16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Abby Yang</dc:creator>
  <cp:lastModifiedBy>Penny Wang</cp:lastModifiedBy>
  <cp:lastPrinted>2026-05-27T16:25:15Z</cp:lastPrinted>
  <dcterms:created xsi:type="dcterms:W3CDTF">2025-12-31T23:34:19Z</dcterms:created>
  <dcterms:modified xsi:type="dcterms:W3CDTF">2026-06-29T01:46:35Z</dcterms:modified>
</cp:coreProperties>
</file>